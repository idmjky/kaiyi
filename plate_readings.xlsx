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te 1 (IMG_6015)" sheetId="1" state="visible" r:id="rId3"/>
    <sheet name="Plate 2 (IMG_6018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<sst xmlns="http://schemas.openxmlformats.org/spreadsheetml/2006/main" count="28" uniqueCount="15">
  <si>
    <t xml:space="preserve">Method 1 — Plate 1 (IMG_6015)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</si>
  <si>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</si>
  <si>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</si>
  <si>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</si>
  <si>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</si>
  <si>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</si>
  <si>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</si>
  <si>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</si>
  <si>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</si>
  <si>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Stats</t>
  </si>
  <si>
    <t xml:space="preserve">Min</t>
  </si>
  <si>
    <t xml:space="preserve">Max</t>
  </si>
  <si>
    <t xml:space="preserve">Mean</t>
  </si>
  <si>
    <t xml:space="preserve">Median</t>
  </si>
  <si>
    <t xml:space="preserve">Method 1 — Plate 2 (IMG_6018)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</si>
</sst>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13" min="2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9.5" hidden="false" customHeight="true" outlineLevel="0" collapsed="false">
      <c r="A3" s="2"/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  <c r="H3" s="3" t="n">
        <v>7</v>
      </c>
      <c r="I3" s="3" t="n">
        <v>8</v>
      </c>
      <c r="J3" s="3" t="n">
        <v>9</v>
      </c>
      <c r="K3" s="3" t="n">
        <v>10</v>
      </c>
      <c r="L3" s="3" t="n">
        <v>11</v>
      </c>
      <c r="M3" s="3" t="n">
        <v>12</v>
      </c>
    </row>
    <row r="4" customFormat="false" ht="18" hidden="false" customHeight="true" outlineLevel="0" collapsed="false">
      <c r="A4" s="4" t="s">
        <v>1</v>
      </c>
      <c r="B4" s="5" t="n">
        <v>377766</v>
      </c>
      <c r="C4" s="5" t="n">
        <v>446155</v>
      </c>
      <c r="D4" s="5" t="n">
        <v>393191</v>
      </c>
      <c r="E4" s="5" t="n">
        <v>579650</v>
      </c>
      <c r="F4" s="5" t="n">
        <v>620489</v>
      </c>
      <c r="G4" s="5" t="n">
        <v>619613</v>
      </c>
      <c r="H4" s="5" t="n">
        <v>265881</v>
      </c>
      <c r="I4" s="5" t="n">
        <v>224849</v>
      </c>
      <c r="J4" s="5" t="n">
        <v>405791</v>
      </c>
      <c r="K4" s="5" t="n">
        <v>361</v>
      </c>
      <c r="L4" s="5" t="n">
        <v>152</v>
      </c>
      <c r="M4" s="5" t="n">
        <v>141</v>
      </c>
    </row>
    <row r="5" customFormat="false" ht="18" hidden="false" customHeight="true" outlineLevel="0" collapsed="false">
      <c r="A5" s="4" t="s">
        <v>2</v>
      </c>
      <c r="B5" s="5" t="n">
        <v>947053</v>
      </c>
      <c r="C5" s="5" t="n">
        <v>857511</v>
      </c>
      <c r="D5" s="5" t="n">
        <v>1064538</v>
      </c>
      <c r="E5" s="5" t="n">
        <v>919401</v>
      </c>
      <c r="F5" s="5" t="n">
        <v>1250635</v>
      </c>
      <c r="G5" s="5" t="n">
        <v>1128681</v>
      </c>
      <c r="H5" s="5" t="n">
        <v>350705</v>
      </c>
      <c r="I5" s="5" t="n">
        <v>318612</v>
      </c>
      <c r="J5" s="5" t="n">
        <v>642979</v>
      </c>
      <c r="K5" s="5" t="n">
        <v>619</v>
      </c>
      <c r="L5" s="5" t="n">
        <v>219</v>
      </c>
      <c r="M5" s="5" t="n">
        <v>122</v>
      </c>
    </row>
    <row r="6" customFormat="false" ht="18" hidden="false" customHeight="true" outlineLevel="0" collapsed="false">
      <c r="A6" s="4" t="s">
        <v>3</v>
      </c>
      <c r="B6" s="5" t="n">
        <v>1944974</v>
      </c>
      <c r="C6" s="5" t="n">
        <v>2227385</v>
      </c>
      <c r="D6" s="5" t="n">
        <v>2050841</v>
      </c>
      <c r="E6" s="5" t="n">
        <v>1758387</v>
      </c>
      <c r="F6" s="5" t="n">
        <v>1948575</v>
      </c>
      <c r="G6" s="5" t="n">
        <v>2138028</v>
      </c>
      <c r="H6" s="5" t="n">
        <v>997321</v>
      </c>
      <c r="I6" s="5" t="n">
        <v>874526</v>
      </c>
      <c r="J6" s="5" t="n">
        <v>1414038</v>
      </c>
      <c r="K6" s="5" t="n">
        <v>1020</v>
      </c>
      <c r="L6" s="5" t="n">
        <v>231</v>
      </c>
      <c r="M6" s="5" t="n">
        <v>176</v>
      </c>
    </row>
    <row r="7" customFormat="false" ht="18" hidden="false" customHeight="true" outlineLevel="0" collapsed="false">
      <c r="A7" s="4" t="s">
        <v>4</v>
      </c>
      <c r="B7" s="5" t="n">
        <v>5351999</v>
      </c>
      <c r="C7" s="5" t="n">
        <v>3804787</v>
      </c>
      <c r="D7" s="5" t="n">
        <v>3700496</v>
      </c>
      <c r="E7" s="5" t="n">
        <v>3216735</v>
      </c>
      <c r="F7" s="5" t="n">
        <v>3209953</v>
      </c>
      <c r="G7" s="5" t="n">
        <v>3399452</v>
      </c>
      <c r="H7" s="5" t="n">
        <v>1654045</v>
      </c>
      <c r="I7" s="5" t="n">
        <v>2064130</v>
      </c>
      <c r="J7" s="5" t="n">
        <v>2343104</v>
      </c>
      <c r="K7" s="5" t="n">
        <v>1659</v>
      </c>
      <c r="L7" s="5" t="n">
        <v>289</v>
      </c>
      <c r="M7" s="5" t="n">
        <v>223</v>
      </c>
    </row>
    <row r="8" customFormat="false" ht="18" hidden="false" customHeight="true" outlineLevel="0" collapsed="false">
      <c r="A8" s="4" t="s">
        <v>5</v>
      </c>
      <c r="B8" s="5" t="n">
        <v>5241266</v>
      </c>
      <c r="C8" s="5" t="n">
        <v>4866074</v>
      </c>
      <c r="D8" s="5" t="n">
        <v>4507938</v>
      </c>
      <c r="E8" s="5" t="n">
        <v>4331261</v>
      </c>
      <c r="F8" s="5" t="n">
        <v>4466209</v>
      </c>
      <c r="G8" s="5" t="n">
        <v>4642020</v>
      </c>
      <c r="H8" s="5" t="n">
        <v>2883363</v>
      </c>
      <c r="I8" s="5" t="n">
        <v>3176655</v>
      </c>
      <c r="J8" s="5" t="n">
        <v>3827620</v>
      </c>
      <c r="K8" s="5" t="n">
        <v>2497</v>
      </c>
      <c r="L8" s="5" t="n">
        <v>331</v>
      </c>
      <c r="M8" s="5" t="n">
        <v>208</v>
      </c>
    </row>
    <row r="9" customFormat="false" ht="18" hidden="false" customHeight="true" outlineLevel="0" collapsed="false">
      <c r="A9" s="4" t="s">
        <v>6</v>
      </c>
      <c r="B9" s="5" t="n">
        <v>5972615</v>
      </c>
      <c r="C9" s="5" t="n">
        <v>5608888</v>
      </c>
      <c r="D9" s="5" t="n">
        <v>6535520</v>
      </c>
      <c r="E9" s="5" t="n">
        <v>5303575</v>
      </c>
      <c r="F9" s="5" t="n">
        <v>5400716</v>
      </c>
      <c r="G9" s="5" t="n">
        <v>5402378</v>
      </c>
      <c r="H9" s="5" t="n">
        <v>4285871</v>
      </c>
      <c r="I9" s="5" t="n">
        <v>4326259</v>
      </c>
      <c r="J9" s="5" t="n">
        <v>4317002</v>
      </c>
      <c r="K9" s="5" t="n">
        <v>3006</v>
      </c>
      <c r="L9" s="5" t="n">
        <v>368</v>
      </c>
      <c r="M9" s="5" t="n">
        <v>226</v>
      </c>
    </row>
    <row r="10" customFormat="false" ht="18" hidden="false" customHeight="true" outlineLevel="0" collapsed="false">
      <c r="A10" s="4" t="s">
        <v>7</v>
      </c>
      <c r="B10" s="5" t="n">
        <v>6205980</v>
      </c>
      <c r="C10" s="5" t="n">
        <v>6013410</v>
      </c>
      <c r="D10" s="5" t="n">
        <v>5977089</v>
      </c>
      <c r="E10" s="5" t="n">
        <v>5768932</v>
      </c>
      <c r="F10" s="5" t="n">
        <v>5706008</v>
      </c>
      <c r="G10" s="5" t="n">
        <v>5779433</v>
      </c>
      <c r="H10" s="5" t="n">
        <v>5243551</v>
      </c>
      <c r="I10" s="5" t="n">
        <v>5209037</v>
      </c>
      <c r="J10" s="5" t="n">
        <v>5488520</v>
      </c>
      <c r="K10" s="5" t="n">
        <v>3530</v>
      </c>
      <c r="L10" s="5" t="n">
        <v>415</v>
      </c>
      <c r="M10" s="5" t="n">
        <v>254</v>
      </c>
    </row>
    <row r="11" customFormat="false" ht="18" hidden="false" customHeight="true" outlineLevel="0" collapsed="false">
      <c r="A11" s="4" t="s">
        <v>8</v>
      </c>
      <c r="B11" s="5" t="n">
        <v>6888214</v>
      </c>
      <c r="C11" s="5" t="n">
        <v>6513515</v>
      </c>
      <c r="D11" s="5" t="n">
        <v>6611972</v>
      </c>
      <c r="E11" s="5" t="n">
        <v>6441108</v>
      </c>
      <c r="F11" s="5" t="n">
        <v>6342898</v>
      </c>
      <c r="G11" s="5" t="n">
        <v>6479786</v>
      </c>
      <c r="H11" s="5" t="n">
        <v>6532085</v>
      </c>
      <c r="I11" s="5" t="n">
        <v>6442400</v>
      </c>
      <c r="J11" s="5" t="n">
        <v>6387737</v>
      </c>
      <c r="K11" s="5" t="n">
        <v>2493</v>
      </c>
      <c r="L11" s="5" t="n">
        <v>392</v>
      </c>
      <c r="M11" s="5" t="n">
        <v>200</v>
      </c>
    </row>
    <row r="13" customFormat="false" ht="15" hidden="false" customHeight="false" outlineLevel="0" collapsed="false">
      <c r="A13" s="6" t="s">
        <v>9</v>
      </c>
    </row>
    <row r="14" customFormat="false" ht="15" hidden="false" customHeight="false" outlineLevel="0" collapsed="false">
      <c r="A14" s="7" t="s">
        <v>10</v>
      </c>
      <c r="B14" s="8" t="n">
        <f aca="false">MIN(B4:B11)</f>
        <v>377766</v>
      </c>
      <c r="C14" s="8" t="n">
        <f aca="false">MIN(C4:C11)</f>
        <v>446155</v>
      </c>
      <c r="D14" s="8" t="n">
        <f aca="false">MIN(D4:D11)</f>
        <v>393191</v>
      </c>
      <c r="E14" s="8" t="n">
        <f aca="false">MIN(E4:E11)</f>
        <v>579650</v>
      </c>
      <c r="F14" s="8" t="n">
        <f aca="false">MIN(F4:F11)</f>
        <v>620489</v>
      </c>
      <c r="G14" s="8" t="n">
        <f aca="false">MIN(G4:G11)</f>
        <v>619613</v>
      </c>
      <c r="H14" s="8" t="n">
        <f aca="false">MIN(H4:H11)</f>
        <v>265881</v>
      </c>
      <c r="I14" s="8" t="n">
        <f aca="false">MIN(I4:I11)</f>
        <v>224849</v>
      </c>
      <c r="J14" s="8" t="n">
        <f aca="false">MIN(J4:J11)</f>
        <v>405791</v>
      </c>
      <c r="K14" s="8" t="n">
        <f aca="false">MIN(K4:K11)</f>
        <v>361</v>
      </c>
      <c r="L14" s="8" t="n">
        <f aca="false">MIN(L4:L11)</f>
        <v>152</v>
      </c>
      <c r="M14" s="8" t="n">
        <f aca="false">MIN(M4:M11)</f>
        <v>122</v>
      </c>
    </row>
    <row r="15" customFormat="false" ht="15" hidden="false" customHeight="false" outlineLevel="0" collapsed="false">
      <c r="A15" s="7" t="s">
        <v>11</v>
      </c>
      <c r="B15" s="8" t="n">
        <f aca="false">MAX(B4:B11)</f>
        <v>6888214</v>
      </c>
      <c r="C15" s="8" t="n">
        <f aca="false">MAX(C4:C11)</f>
        <v>6513515</v>
      </c>
      <c r="D15" s="8" t="n">
        <f aca="false">MAX(D4:D11)</f>
        <v>6611972</v>
      </c>
      <c r="E15" s="8" t="n">
        <f aca="false">MAX(E4:E11)</f>
        <v>6441108</v>
      </c>
      <c r="F15" s="8" t="n">
        <f aca="false">MAX(F4:F11)</f>
        <v>6342898</v>
      </c>
      <c r="G15" s="8" t="n">
        <f aca="false">MAX(G4:G11)</f>
        <v>6479786</v>
      </c>
      <c r="H15" s="8" t="n">
        <f aca="false">MAX(H4:H11)</f>
        <v>6532085</v>
      </c>
      <c r="I15" s="8" t="n">
        <f aca="false">MAX(I4:I11)</f>
        <v>6442400</v>
      </c>
      <c r="J15" s="8" t="n">
        <f aca="false">MAX(J4:J11)</f>
        <v>6387737</v>
      </c>
      <c r="K15" s="8" t="n">
        <f aca="false">MAX(K4:K11)</f>
        <v>3530</v>
      </c>
      <c r="L15" s="8" t="n">
        <f aca="false">MAX(L4:L11)</f>
        <v>415</v>
      </c>
      <c r="M15" s="8" t="n">
        <f aca="false">MAX(M4:M11)</f>
        <v>254</v>
      </c>
    </row>
    <row r="16" customFormat="false" ht="15" hidden="false" customHeight="false" outlineLevel="0" collapsed="false">
      <c r="A16" s="7" t="s">
        <v>12</v>
      </c>
      <c r="B16" s="8" t="n">
        <f aca="false">AVERAGE(B4:B11)</f>
        <v>4116233.375</v>
      </c>
      <c r="C16" s="8" t="n">
        <f aca="false">AVERAGE(C4:C11)</f>
        <v>3792215.625</v>
      </c>
      <c r="D16" s="8" t="n">
        <f aca="false">AVERAGE(D4:D11)</f>
        <v>3855198.125</v>
      </c>
      <c r="E16" s="8" t="n">
        <f aca="false">AVERAGE(E4:E11)</f>
        <v>3539881.125</v>
      </c>
      <c r="F16" s="8" t="n">
        <f aca="false">AVERAGE(F4:F11)</f>
        <v>3618185.375</v>
      </c>
      <c r="G16" s="8" t="n">
        <f aca="false">AVERAGE(G4:G11)</f>
        <v>3698673.875</v>
      </c>
      <c r="H16" s="8" t="n">
        <f aca="false">AVERAGE(H4:H11)</f>
        <v>2776602.75</v>
      </c>
      <c r="I16" s="8" t="n">
        <f aca="false">AVERAGE(I4:I11)</f>
        <v>2829558.5</v>
      </c>
      <c r="J16" s="8" t="n">
        <f aca="false">AVERAGE(J4:J11)</f>
        <v>3103348.875</v>
      </c>
      <c r="K16" s="8" t="n">
        <f aca="false">AVERAGE(K4:K11)</f>
        <v>1898.125</v>
      </c>
      <c r="L16" s="8" t="n">
        <f aca="false">AVERAGE(L4:L11)</f>
        <v>299.625</v>
      </c>
      <c r="M16" s="8" t="n">
        <f aca="false">AVERAGE(M4:M11)</f>
        <v>193.75</v>
      </c>
    </row>
    <row r="17" customFormat="false" ht="15" hidden="false" customHeight="false" outlineLevel="0" collapsed="false">
      <c r="A17" s="7" t="s">
        <v>13</v>
      </c>
      <c r="B17" s="8" t="n">
        <f aca="false">MEDIAN(B4:B11)</f>
        <v>5296632.5</v>
      </c>
      <c r="C17" s="8" t="n">
        <f aca="false">MEDIAN(C4:C11)</f>
        <v>4335430.5</v>
      </c>
      <c r="D17" s="8" t="n">
        <f aca="false">MEDIAN(D4:D11)</f>
        <v>4104217</v>
      </c>
      <c r="E17" s="8" t="n">
        <f aca="false">MEDIAN(E4:E11)</f>
        <v>3773998</v>
      </c>
      <c r="F17" s="8" t="n">
        <f aca="false">MEDIAN(F4:F11)</f>
        <v>3838081</v>
      </c>
      <c r="G17" s="8" t="n">
        <f aca="false">MEDIAN(G4:G11)</f>
        <v>4020736</v>
      </c>
      <c r="H17" s="8" t="n">
        <f aca="false">MEDIAN(H4:H11)</f>
        <v>2268704</v>
      </c>
      <c r="I17" s="8" t="n">
        <f aca="false">MEDIAN(I4:I11)</f>
        <v>2620392.5</v>
      </c>
      <c r="J17" s="8" t="n">
        <f aca="false">MEDIAN(J4:J11)</f>
        <v>3085362</v>
      </c>
      <c r="K17" s="8" t="n">
        <f aca="false">MEDIAN(K4:K11)</f>
        <v>2076</v>
      </c>
      <c r="L17" s="8" t="n">
        <f aca="false">MEDIAN(L4:L11)</f>
        <v>310</v>
      </c>
      <c r="M17" s="8" t="n">
        <f aca="false">MEDIAN(M4:M11)</f>
        <v>204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13" min="2" style="0" width="12"/>
  </cols>
  <sheetData>
    <row r="1" customFormat="false" ht="21.75" hidden="false" customHeight="true" outlineLevel="0" collapsed="false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9.5" hidden="false" customHeight="true" outlineLevel="0" collapsed="false">
      <c r="A3" s="2"/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  <c r="H3" s="3" t="n">
        <v>7</v>
      </c>
      <c r="I3" s="3" t="n">
        <v>8</v>
      </c>
      <c r="J3" s="3" t="n">
        <v>9</v>
      </c>
      <c r="K3" s="3" t="n">
        <v>10</v>
      </c>
      <c r="L3" s="3" t="n">
        <v>11</v>
      </c>
      <c r="M3" s="3" t="n">
        <v>12</v>
      </c>
    </row>
    <row r="4" customFormat="false" ht="18" hidden="false" customHeight="true" outlineLevel="0" collapsed="false">
      <c r="A4" s="4" t="s">
        <v>1</v>
      </c>
      <c r="B4" s="5" t="n">
        <v>265309</v>
      </c>
      <c r="C4" s="5" t="n">
        <v>327104</v>
      </c>
      <c r="D4" s="5" t="n">
        <v>248196</v>
      </c>
      <c r="E4" s="5" t="n">
        <v>276122</v>
      </c>
      <c r="F4" s="5" t="n">
        <v>450011</v>
      </c>
      <c r="G4" s="5" t="n">
        <v>363938</v>
      </c>
      <c r="H4" s="5" t="n">
        <v>366203</v>
      </c>
      <c r="I4" s="5" t="n">
        <v>317244</v>
      </c>
      <c r="J4" s="5" t="n">
        <v>311838</v>
      </c>
      <c r="K4" s="5" t="n">
        <v>544807</v>
      </c>
      <c r="L4" s="5" t="n">
        <v>2743037</v>
      </c>
      <c r="M4" s="5" t="n">
        <v>9482063</v>
      </c>
    </row>
    <row r="5" customFormat="false" ht="18" hidden="false" customHeight="true" outlineLevel="0" collapsed="false">
      <c r="A5" s="4" t="s">
        <v>2</v>
      </c>
      <c r="B5" s="5" t="n">
        <v>464734</v>
      </c>
      <c r="C5" s="5" t="n">
        <v>463136</v>
      </c>
      <c r="D5" s="5" t="n">
        <v>388973</v>
      </c>
      <c r="E5" s="5" t="n">
        <v>375302</v>
      </c>
      <c r="F5" s="5" t="n">
        <v>640905</v>
      </c>
      <c r="G5" s="5" t="n">
        <v>383922</v>
      </c>
      <c r="H5" s="5" t="n">
        <v>586738</v>
      </c>
      <c r="I5" s="5" t="n">
        <v>567259</v>
      </c>
      <c r="J5" s="5" t="n">
        <v>545806</v>
      </c>
      <c r="K5" s="5" t="n">
        <v>868384</v>
      </c>
      <c r="L5" s="5" t="n">
        <v>1067787</v>
      </c>
      <c r="M5" s="5" t="n">
        <v>9619054</v>
      </c>
    </row>
    <row r="6" customFormat="false" ht="18" hidden="false" customHeight="true" outlineLevel="0" collapsed="false">
      <c r="A6" s="4" t="s">
        <v>3</v>
      </c>
      <c r="B6" s="5" t="n">
        <v>998271</v>
      </c>
      <c r="C6" s="5" t="n">
        <v>872398</v>
      </c>
      <c r="D6" s="5" t="n">
        <v>697652</v>
      </c>
      <c r="E6" s="5" t="n">
        <v>877470</v>
      </c>
      <c r="F6" s="5" t="n">
        <v>1372202</v>
      </c>
      <c r="G6" s="5" t="n">
        <v>816311</v>
      </c>
      <c r="H6" s="5" t="n">
        <v>1199463</v>
      </c>
      <c r="I6" s="5" t="n">
        <v>1520860</v>
      </c>
      <c r="J6" s="5" t="n">
        <v>1290977</v>
      </c>
      <c r="K6" s="5" t="n">
        <v>2155212</v>
      </c>
      <c r="L6" s="5" t="n">
        <v>2885072</v>
      </c>
      <c r="M6" s="5" t="n">
        <v>9309904</v>
      </c>
    </row>
    <row r="7" customFormat="false" ht="18" hidden="false" customHeight="true" outlineLevel="0" collapsed="false">
      <c r="A7" s="4" t="s">
        <v>4</v>
      </c>
      <c r="B7" s="5" t="n">
        <v>2372039</v>
      </c>
      <c r="C7" s="5" t="n">
        <v>2535499</v>
      </c>
      <c r="D7" s="5" t="n">
        <v>1725561</v>
      </c>
      <c r="E7" s="5" t="n">
        <v>1747235</v>
      </c>
      <c r="F7" s="5" t="n">
        <v>2773991</v>
      </c>
      <c r="G7" s="5" t="n">
        <v>1835704</v>
      </c>
      <c r="H7" s="5" t="n">
        <v>2633571</v>
      </c>
      <c r="I7" s="5" t="n">
        <v>2635292</v>
      </c>
      <c r="J7" s="5" t="n">
        <v>2674818</v>
      </c>
      <c r="K7" s="5" t="n">
        <v>3233860</v>
      </c>
      <c r="L7" s="5" t="n">
        <v>4027247</v>
      </c>
      <c r="M7" s="5" t="n">
        <v>9173046</v>
      </c>
    </row>
    <row r="8" customFormat="false" ht="18" hidden="false" customHeight="true" outlineLevel="0" collapsed="false">
      <c r="A8" s="4" t="s">
        <v>5</v>
      </c>
      <c r="B8" s="5" t="n">
        <v>3829211</v>
      </c>
      <c r="C8" s="5" t="n">
        <v>3516080</v>
      </c>
      <c r="D8" s="5" t="n">
        <v>3382090</v>
      </c>
      <c r="E8" s="5" t="n">
        <v>3586483</v>
      </c>
      <c r="F8" s="5" t="n">
        <v>3848459</v>
      </c>
      <c r="G8" s="5" t="n">
        <v>3437747</v>
      </c>
      <c r="H8" s="5" t="n">
        <v>4104543</v>
      </c>
      <c r="I8" s="5" t="n">
        <v>4087727</v>
      </c>
      <c r="J8" s="5" t="n">
        <v>4247700</v>
      </c>
      <c r="K8" s="5" t="n">
        <v>5014523</v>
      </c>
      <c r="L8" s="5" t="n">
        <v>5435975</v>
      </c>
      <c r="M8" s="5" t="n">
        <v>10112233</v>
      </c>
    </row>
    <row r="9" customFormat="false" ht="18" hidden="false" customHeight="true" outlineLevel="0" collapsed="false">
      <c r="A9" s="4" t="s">
        <v>6</v>
      </c>
      <c r="B9" s="5" t="n">
        <v>5567419</v>
      </c>
      <c r="C9" s="5" t="n">
        <v>5245207</v>
      </c>
      <c r="D9" s="5" t="n">
        <v>5051604</v>
      </c>
      <c r="E9" s="5" t="n">
        <v>5290312</v>
      </c>
      <c r="F9" s="5" t="n">
        <v>5058820</v>
      </c>
      <c r="G9" s="5" t="n">
        <v>5117201</v>
      </c>
      <c r="H9" s="5" t="n">
        <v>5239268</v>
      </c>
      <c r="I9" s="5" t="n">
        <v>5420482</v>
      </c>
      <c r="J9" s="5" t="n">
        <v>5465860</v>
      </c>
      <c r="K9" s="5" t="n">
        <v>5895110</v>
      </c>
      <c r="L9" s="5" t="n">
        <v>6660191</v>
      </c>
      <c r="M9" s="5" t="n">
        <v>10121914</v>
      </c>
    </row>
    <row r="10" customFormat="false" ht="18" hidden="false" customHeight="true" outlineLevel="0" collapsed="false">
      <c r="A10" s="4" t="s">
        <v>7</v>
      </c>
      <c r="B10" s="5" t="n">
        <v>6363297</v>
      </c>
      <c r="C10" s="5" t="n">
        <v>6148049</v>
      </c>
      <c r="D10" s="5" t="n">
        <v>6082694</v>
      </c>
      <c r="E10" s="5" t="n">
        <v>6156954</v>
      </c>
      <c r="F10" s="5" t="n">
        <v>5883609</v>
      </c>
      <c r="G10" s="5" t="n">
        <v>5723771</v>
      </c>
      <c r="H10" s="5" t="n">
        <v>5952988</v>
      </c>
      <c r="I10" s="5" t="n">
        <v>6121211</v>
      </c>
      <c r="J10" s="5" t="n">
        <v>6203691</v>
      </c>
      <c r="K10" s="5" t="n">
        <v>6298257</v>
      </c>
      <c r="L10" s="5" t="n">
        <v>6358632</v>
      </c>
      <c r="M10" s="5" t="n">
        <v>10236020</v>
      </c>
    </row>
    <row r="11" customFormat="false" ht="18" hidden="false" customHeight="true" outlineLevel="0" collapsed="false">
      <c r="A11" s="4" t="s">
        <v>8</v>
      </c>
      <c r="B11" s="5" t="n">
        <v>8157629</v>
      </c>
      <c r="C11" s="5" t="n">
        <v>7872135</v>
      </c>
      <c r="D11" s="5" t="n">
        <v>7978803</v>
      </c>
      <c r="E11" s="5" t="n">
        <v>9269048</v>
      </c>
      <c r="F11" s="5" t="n">
        <v>8019909</v>
      </c>
      <c r="G11" s="5" t="n">
        <v>7543795</v>
      </c>
      <c r="H11" s="5" t="n">
        <v>7307209</v>
      </c>
      <c r="I11" s="5" t="n">
        <v>7515019</v>
      </c>
      <c r="J11" s="5" t="n">
        <v>7699017</v>
      </c>
      <c r="K11" s="5" t="n">
        <v>7534571</v>
      </c>
      <c r="L11" s="5" t="n">
        <v>7873951</v>
      </c>
      <c r="M11" s="5" t="n">
        <v>5715945</v>
      </c>
    </row>
    <row r="13" customFormat="false" ht="15" hidden="false" customHeight="false" outlineLevel="0" collapsed="false">
      <c r="A13" s="6" t="s">
        <v>9</v>
      </c>
    </row>
    <row r="14" customFormat="false" ht="15" hidden="false" customHeight="false" outlineLevel="0" collapsed="false">
      <c r="A14" s="7" t="s">
        <v>10</v>
      </c>
      <c r="B14" s="8" t="n">
        <f aca="false">MIN(B4:B11)</f>
        <v>265309</v>
      </c>
      <c r="C14" s="8" t="n">
        <f aca="false">MIN(C4:C11)</f>
        <v>327104</v>
      </c>
      <c r="D14" s="8" t="n">
        <f aca="false">MIN(D4:D11)</f>
        <v>248196</v>
      </c>
      <c r="E14" s="8" t="n">
        <f aca="false">MIN(E4:E11)</f>
        <v>276122</v>
      </c>
      <c r="F14" s="8" t="n">
        <f aca="false">MIN(F4:F11)</f>
        <v>450011</v>
      </c>
      <c r="G14" s="8" t="n">
        <f aca="false">MIN(G4:G11)</f>
        <v>363938</v>
      </c>
      <c r="H14" s="8" t="n">
        <f aca="false">MIN(H4:H11)</f>
        <v>366203</v>
      </c>
      <c r="I14" s="8" t="n">
        <f aca="false">MIN(I4:I11)</f>
        <v>317244</v>
      </c>
      <c r="J14" s="8" t="n">
        <f aca="false">MIN(J4:J11)</f>
        <v>311838</v>
      </c>
      <c r="K14" s="8" t="n">
        <f aca="false">MIN(K4:K11)</f>
        <v>544807</v>
      </c>
      <c r="L14" s="8" t="n">
        <f aca="false">MIN(L4:L11)</f>
        <v>1067787</v>
      </c>
      <c r="M14" s="8" t="n">
        <f aca="false">MIN(M4:M11)</f>
        <v>5715945</v>
      </c>
    </row>
    <row r="15" customFormat="false" ht="15" hidden="false" customHeight="false" outlineLevel="0" collapsed="false">
      <c r="A15" s="7" t="s">
        <v>11</v>
      </c>
      <c r="B15" s="8" t="n">
        <f aca="false">MAX(B4:B11)</f>
        <v>8157629</v>
      </c>
      <c r="C15" s="8" t="n">
        <f aca="false">MAX(C4:C11)</f>
        <v>7872135</v>
      </c>
      <c r="D15" s="8" t="n">
        <f aca="false">MAX(D4:D11)</f>
        <v>7978803</v>
      </c>
      <c r="E15" s="8" t="n">
        <f aca="false">MAX(E4:E11)</f>
        <v>9269048</v>
      </c>
      <c r="F15" s="8" t="n">
        <f aca="false">MAX(F4:F11)</f>
        <v>8019909</v>
      </c>
      <c r="G15" s="8" t="n">
        <f aca="false">MAX(G4:G11)</f>
        <v>7543795</v>
      </c>
      <c r="H15" s="8" t="n">
        <f aca="false">MAX(H4:H11)</f>
        <v>7307209</v>
      </c>
      <c r="I15" s="8" t="n">
        <f aca="false">MAX(I4:I11)</f>
        <v>7515019</v>
      </c>
      <c r="J15" s="8" t="n">
        <f aca="false">MAX(J4:J11)</f>
        <v>7699017</v>
      </c>
      <c r="K15" s="8" t="n">
        <f aca="false">MAX(K4:K11)</f>
        <v>7534571</v>
      </c>
      <c r="L15" s="8" t="n">
        <f aca="false">MAX(L4:L11)</f>
        <v>7873951</v>
      </c>
      <c r="M15" s="8" t="n">
        <f aca="false">MAX(M4:M11)</f>
        <v>10236020</v>
      </c>
    </row>
    <row r="16" customFormat="false" ht="15" hidden="false" customHeight="false" outlineLevel="0" collapsed="false">
      <c r="A16" s="7" t="s">
        <v>12</v>
      </c>
      <c r="B16" s="8" t="n">
        <f aca="false">AVERAGE(B4:B11)</f>
        <v>3502238.625</v>
      </c>
      <c r="C16" s="8" t="n">
        <f aca="false">AVERAGE(C4:C11)</f>
        <v>3372451</v>
      </c>
      <c r="D16" s="8" t="n">
        <f aca="false">AVERAGE(D4:D11)</f>
        <v>3194446.625</v>
      </c>
      <c r="E16" s="8" t="n">
        <f aca="false">AVERAGE(E4:E11)</f>
        <v>3447365.75</v>
      </c>
      <c r="F16" s="8" t="n">
        <f aca="false">AVERAGE(F4:F11)</f>
        <v>3505988.25</v>
      </c>
      <c r="G16" s="8" t="n">
        <f aca="false">AVERAGE(G4:G11)</f>
        <v>3152798.625</v>
      </c>
      <c r="H16" s="8" t="n">
        <f aca="false">AVERAGE(H4:H11)</f>
        <v>3423747.875</v>
      </c>
      <c r="I16" s="8" t="n">
        <f aca="false">AVERAGE(I4:I11)</f>
        <v>3523136.75</v>
      </c>
      <c r="J16" s="8" t="n">
        <f aca="false">AVERAGE(J4:J11)</f>
        <v>3554963.375</v>
      </c>
      <c r="K16" s="8" t="n">
        <f aca="false">AVERAGE(K4:K11)</f>
        <v>3943090.5</v>
      </c>
      <c r="L16" s="8" t="n">
        <f aca="false">AVERAGE(L4:L11)</f>
        <v>4631486.5</v>
      </c>
      <c r="M16" s="8" t="n">
        <f aca="false">AVERAGE(M4:M11)</f>
        <v>9221272.375</v>
      </c>
    </row>
    <row r="17" customFormat="false" ht="15" hidden="false" customHeight="false" outlineLevel="0" collapsed="false">
      <c r="A17" s="7" t="s">
        <v>13</v>
      </c>
      <c r="B17" s="8" t="n">
        <f aca="false">MEDIAN(B4:B11)</f>
        <v>3100625</v>
      </c>
      <c r="C17" s="8" t="n">
        <f aca="false">MEDIAN(C4:C11)</f>
        <v>3025789.5</v>
      </c>
      <c r="D17" s="8" t="n">
        <f aca="false">MEDIAN(D4:D11)</f>
        <v>2553825.5</v>
      </c>
      <c r="E17" s="8" t="n">
        <f aca="false">MEDIAN(E4:E11)</f>
        <v>2666859</v>
      </c>
      <c r="F17" s="8" t="n">
        <f aca="false">MEDIAN(F4:F11)</f>
        <v>3311225</v>
      </c>
      <c r="G17" s="8" t="n">
        <f aca="false">MEDIAN(G4:G11)</f>
        <v>2636725.5</v>
      </c>
      <c r="H17" s="8" t="n">
        <f aca="false">MEDIAN(H4:H11)</f>
        <v>3369057</v>
      </c>
      <c r="I17" s="8" t="n">
        <f aca="false">MEDIAN(I4:I11)</f>
        <v>3361509.5</v>
      </c>
      <c r="J17" s="8" t="n">
        <f aca="false">MEDIAN(J4:J11)</f>
        <v>3461259</v>
      </c>
      <c r="K17" s="8" t="n">
        <f aca="false">MEDIAN(K4:K11)</f>
        <v>4124191.5</v>
      </c>
      <c r="L17" s="8" t="n">
        <f aca="false">MEDIAN(L4:L11)</f>
        <v>4731611</v>
      </c>
      <c r="M17" s="8" t="n">
        <f aca="false">MEDIAN(M4:M11)</f>
        <v>9550558.5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2026-04-21T02:05:48Z</dcterms:created>
  <dc:creator>openpyxl</dc:creator>
  <dc:description/>
  <dc:language>en-US</dc:language>
  <cp:lastModifiedBy/>
  <dcterms:modified xsi:type="dcterms:W3CDTF">2026-04-21T02:05:48Z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